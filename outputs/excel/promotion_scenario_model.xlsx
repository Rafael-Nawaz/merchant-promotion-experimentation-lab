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Scenario Model" sheetId="2" r:id="rId2"/>
    <sheet name="Segment Detail (pilot)" sheetId="3" r:id="rId3"/>
    <sheet name="Read Me" sheetId="4" r:id="rId4"/>
  </sheets>
  <calcPr calcId="124519" fullCalcOnLoad="1"/>
</workbook>
</file>

<file path=xl/sharedStrings.xml><?xml version="1.0" encoding="utf-8"?>
<sst xmlns="http://schemas.openxmlformats.org/spreadsheetml/2006/main" count="94" uniqueCount="88">
  <si>
    <t>Promotion Scenario Model - Assumptions</t>
  </si>
  <si>
    <t>Yellow cells are inputs. The Scenario Model sheet is entirely formula-driven.</t>
  </si>
  <si>
    <t>Assumption</t>
  </si>
  <si>
    <t>Value</t>
  </si>
  <si>
    <t>Note</t>
  </si>
  <si>
    <t>Cashback rate</t>
  </si>
  <si>
    <t>Cashback paid to cardholder on eligible spend</t>
  </si>
  <si>
    <t>Contribution margin on incremental spend</t>
  </si>
  <si>
    <t>Rate at which incremental revenue becomes profit</t>
  </si>
  <si>
    <t>Merchant funding share of cashback</t>
  </si>
  <si>
    <t>1.0 = merchant pays the entire cashback bill</t>
  </si>
  <si>
    <t>Targeted population (customers)</t>
  </si>
  <si>
    <t>Rollout base x targeted share (34%); segments: Affluent Frequent, Digital Native</t>
  </si>
  <si>
    <t>Promo windows per year</t>
  </si>
  <si>
    <t>Number of 12-week promotion windows run annually</t>
  </si>
  <si>
    <t>Counterfactual eligible spend / customer / window</t>
  </si>
  <si>
    <t>Dining+Entertainment spend WITHOUT the promo (from DiD)</t>
  </si>
  <si>
    <t>Promotion cost / customer / window</t>
  </si>
  <si>
    <t>Actual cashback paid per treated customer in the pilot</t>
  </si>
  <si>
    <t>Incremental eligible spend / cust / window - CONSERVATIVE</t>
  </si>
  <si>
    <t>Lower bound of the 95% CI on the DiD estimate</t>
  </si>
  <si>
    <t>Incremental eligible spend / cust / window - BASE</t>
  </si>
  <si>
    <t>DiD point estimate</t>
  </si>
  <si>
    <t>Incremental eligible spend / cust / window - UPSIDE</t>
  </si>
  <si>
    <t>Upper bound of the 95% CI on the DiD estimate</t>
  </si>
  <si>
    <t>Halo spend / customer / window (non-eligible categories)</t>
  </si>
  <si>
    <t>Extra spend outside Dining+Entertainment - upside only, not in headline ROI</t>
  </si>
  <si>
    <t>Annual Promotion Economics by Scenario</t>
  </si>
  <si>
    <t>Metric</t>
  </si>
  <si>
    <t>Conservative</t>
  </si>
  <si>
    <t>Base</t>
  </si>
  <si>
    <t>Upside</t>
  </si>
  <si>
    <t>Incremental eligible spend / customer / window</t>
  </si>
  <si>
    <t>Targeted population</t>
  </si>
  <si>
    <t>Annual incremental eligible spend</t>
  </si>
  <si>
    <t>Annual promotion cost</t>
  </si>
  <si>
    <t>Annual incremental margin</t>
  </si>
  <si>
    <t>Annual net benefit</t>
  </si>
  <si>
    <t>ROI (net benefit / promo cost)</t>
  </si>
  <si>
    <t>Break-even incremental spend / cust / window</t>
  </si>
  <si>
    <t>Break-even eligible lift (% of counterfactual)</t>
  </si>
  <si>
    <t>Scenario eligible lift (% of counterfactual)</t>
  </si>
  <si>
    <t>Memo: annual halo spend (upside)</t>
  </si>
  <si>
    <t>Memo: ROI including halo upside</t>
  </si>
  <si>
    <t>Reading the model</t>
  </si>
  <si>
    <t>Net benefit &gt; 0 and ROI &gt; 0 mean the promotion pays for itself after cashback cost.</t>
  </si>
  <si>
    <t>If 'Scenario eligible lift' &lt; 'Break-even eligible lift', that scenario loses money.</t>
  </si>
  <si>
    <t>Conservative uses the low end of the 95% confidence interval - if it is still positive, the program is robust to statistical uncertainty.</t>
  </si>
  <si>
    <t>Halo rows show what happens if the (less certain) spillover to other categories holds up.</t>
  </si>
  <si>
    <t>Segment</t>
  </si>
  <si>
    <t>Treated customers</t>
  </si>
  <si>
    <t>Eligible DiD $/cust</t>
  </si>
  <si>
    <t>p-value</t>
  </si>
  <si>
    <t>Significant?</t>
  </si>
  <si>
    <t>Incr. eligible spend</t>
  </si>
  <si>
    <t>Halo spend</t>
  </si>
  <si>
    <t>Promotion cost</t>
  </si>
  <si>
    <t>Incr. margin</t>
  </si>
  <si>
    <t>Net benefit</t>
  </si>
  <si>
    <t>ROI</t>
  </si>
  <si>
    <t>ROI incl. halo</t>
  </si>
  <si>
    <t>Break-even lift</t>
  </si>
  <si>
    <t>Verdict</t>
  </si>
  <si>
    <t>Affluent Frequent</t>
  </si>
  <si>
    <t>Yes</t>
  </si>
  <si>
    <t>Significant lift, clearly positive ROI - target / expand</t>
  </si>
  <si>
    <t>Digital Native</t>
  </si>
  <si>
    <t>Mainstream</t>
  </si>
  <si>
    <t>Significant lift but negative ROI at this cashback rate - do not expand</t>
  </si>
  <si>
    <t>Budget Occasional</t>
  </si>
  <si>
    <t>Dormant Reactivation</t>
  </si>
  <si>
    <t>No</t>
  </si>
  <si>
    <t>No statistically reliable lift - cashback would fund inframarginal spend</t>
  </si>
  <si>
    <t>Merchant Promotion Experimentation Lab - Scenario Model</t>
  </si>
  <si>
    <t>Purpose: project the annual economics of the cashback promotion from the pilot read.</t>
  </si>
  <si>
    <t>Sheets:</t>
  </si>
  <si>
    <t xml:space="preserve">  Assumptions            - all inputs (yellow). Change these to test your own assumptions.</t>
  </si>
  <si>
    <t xml:space="preserve">  Scenario Model         - annual cost / revenue / ROI / break-even under 3 scenarios (formula-driven).</t>
  </si>
  <si>
    <t xml:space="preserve">  Segment Detail (pilot) - measured pilot economics for every segment tested.</t>
  </si>
  <si>
    <t>Scenario definitions (incremental ELIGIBLE-category spend per customer per window):</t>
  </si>
  <si>
    <t xml:space="preserve">  Conservative = lower bound of the 95% confidence interval on the difference-in-differences estimate</t>
  </si>
  <si>
    <t xml:space="preserve">  Base         = difference-in-differences point estimate</t>
  </si>
  <si>
    <t xml:space="preserve">  Upside       = upper bound of the 95% confidence interval</t>
  </si>
  <si>
    <t>Headline ROI is built on eligible-category spend only (the effect the promotion can be</t>
  </si>
  <si>
    <t>cleanly credited with). Halo spend in other categories is shown as a separate upside.</t>
  </si>
  <si>
    <t>Scenarios apply only to the TARGETED segments (significant positive eligible-spend lift AND</t>
  </si>
  <si>
    <t>positive ROI in the pilot): Affluent Frequent, Digital Native</t>
  </si>
  <si>
    <t>Generated by src/build_excel_model.py - re-run the pipeline to refresh.</t>
  </si>
</sst>
</file>

<file path=xl/styles.xml><?xml version="1.0" encoding="utf-8"?>
<styleSheet xmlns="http://schemas.openxmlformats.org/spreadsheetml/2006/main">
  <numFmts count="6">
    <numFmt numFmtId="164" formatCode="0.0%"/>
    <numFmt numFmtId="165" formatCode="#,##0"/>
    <numFmt numFmtId="166" formatCode="$#,##0.00"/>
    <numFmt numFmtId="167" formatCode="$#,##0"/>
    <numFmt numFmtId="168" formatCode="0.000"/>
    <numFmt numFmtId="169" formatCode="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6" fontId="0" fillId="3" borderId="1" xfId="0" applyNumberFormat="1" applyFill="1" applyBorder="1"/>
    <xf numFmtId="166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3" fillId="0" borderId="0" xfId="0" applyFont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6.7109375" customWidth="1"/>
    <col min="2" max="2" width="16.7109375" customWidth="1"/>
    <col min="3" max="3" width="58.7109375" customWidth="1"/>
  </cols>
  <sheetData>
    <row r="1" spans="1:3">
      <c r="A1" s="1" t="s">
        <v>0</v>
      </c>
    </row>
    <row r="2" spans="1:3">
      <c r="A2" t="s">
        <v>1</v>
      </c>
    </row>
    <row r="4" spans="1:3">
      <c r="A4" s="2" t="s">
        <v>2</v>
      </c>
      <c r="B4" s="2" t="s">
        <v>3</v>
      </c>
      <c r="C4" s="2" t="s">
        <v>4</v>
      </c>
    </row>
    <row r="5" spans="1:3">
      <c r="A5" t="s">
        <v>5</v>
      </c>
      <c r="B5" s="3">
        <v>0.03</v>
      </c>
      <c r="C5" t="s">
        <v>6</v>
      </c>
    </row>
    <row r="6" spans="1:3">
      <c r="A6" t="s">
        <v>7</v>
      </c>
      <c r="B6" s="3">
        <v>0.25</v>
      </c>
      <c r="C6" t="s">
        <v>8</v>
      </c>
    </row>
    <row r="7" spans="1:3">
      <c r="A7" t="s">
        <v>9</v>
      </c>
      <c r="B7" s="3">
        <v>1</v>
      </c>
      <c r="C7" t="s">
        <v>10</v>
      </c>
    </row>
    <row r="8" spans="1:3">
      <c r="A8" t="s">
        <v>11</v>
      </c>
      <c r="B8" s="4">
        <v>252750</v>
      </c>
      <c r="C8" t="s">
        <v>12</v>
      </c>
    </row>
    <row r="9" spans="1:3">
      <c r="A9" t="s">
        <v>13</v>
      </c>
      <c r="B9" s="4">
        <v>4</v>
      </c>
      <c r="C9" t="s">
        <v>14</v>
      </c>
    </row>
    <row r="10" spans="1:3">
      <c r="A10" t="s">
        <v>15</v>
      </c>
      <c r="B10" s="5">
        <v>556.3319851468774</v>
      </c>
      <c r="C10" t="s">
        <v>16</v>
      </c>
    </row>
    <row r="11" spans="1:3">
      <c r="A11" t="s">
        <v>17</v>
      </c>
      <c r="B11" s="5">
        <v>20.32108594657375</v>
      </c>
      <c r="C11" t="s">
        <v>18</v>
      </c>
    </row>
    <row r="12" spans="1:3">
      <c r="A12" t="s">
        <v>19</v>
      </c>
      <c r="B12" s="5">
        <v>74.07062676198665</v>
      </c>
      <c r="C12" t="s">
        <v>20</v>
      </c>
    </row>
    <row r="13" spans="1:3">
      <c r="A13" t="s">
        <v>21</v>
      </c>
      <c r="B13" s="5">
        <v>121.0323760610194</v>
      </c>
      <c r="C13" t="s">
        <v>22</v>
      </c>
    </row>
    <row r="14" spans="1:3">
      <c r="A14" t="s">
        <v>23</v>
      </c>
      <c r="B14" s="5">
        <v>167.9941253600522</v>
      </c>
      <c r="C14" t="s">
        <v>24</v>
      </c>
    </row>
    <row r="15" spans="1:3">
      <c r="A15" t="s">
        <v>25</v>
      </c>
      <c r="B15" s="5">
        <v>85.1194650927677</v>
      </c>
      <c r="C1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1" width="46.7109375" customWidth="1"/>
    <col min="2" max="4" width="16.7109375" customWidth="1"/>
  </cols>
  <sheetData>
    <row r="1" spans="1:4">
      <c r="A1" s="1" t="s">
        <v>27</v>
      </c>
    </row>
    <row r="3" spans="1:4">
      <c r="A3" s="2" t="s">
        <v>28</v>
      </c>
      <c r="B3" s="2" t="s">
        <v>29</v>
      </c>
      <c r="C3" s="2" t="s">
        <v>30</v>
      </c>
      <c r="D3" s="2" t="s">
        <v>31</v>
      </c>
    </row>
    <row r="4" spans="1:4">
      <c r="A4" t="s">
        <v>32</v>
      </c>
      <c r="B4" s="6">
        <f>Assumptions!$B$12</f>
        <v>0</v>
      </c>
      <c r="C4" s="6">
        <f>Assumptions!$B$13</f>
        <v>0</v>
      </c>
      <c r="D4" s="6">
        <f>Assumptions!$B$14</f>
        <v>0</v>
      </c>
    </row>
    <row r="5" spans="1:4">
      <c r="A5" t="s">
        <v>33</v>
      </c>
      <c r="B5" s="7">
        <f>Assumptions!$B$8</f>
        <v>0</v>
      </c>
      <c r="C5" s="7">
        <f>Assumptions!$B$8</f>
        <v>0</v>
      </c>
      <c r="D5" s="7">
        <f>Assumptions!$B$8</f>
        <v>0</v>
      </c>
    </row>
    <row r="6" spans="1:4">
      <c r="A6" t="s">
        <v>13</v>
      </c>
      <c r="B6" s="7">
        <f>Assumptions!$B$9</f>
        <v>0</v>
      </c>
      <c r="C6" s="7">
        <f>Assumptions!$B$9</f>
        <v>0</v>
      </c>
      <c r="D6" s="7">
        <f>Assumptions!$B$9</f>
        <v>0</v>
      </c>
    </row>
    <row r="7" spans="1:4">
      <c r="A7" t="s">
        <v>34</v>
      </c>
      <c r="B7" s="8">
        <f>B4*B5*B6</f>
        <v>0</v>
      </c>
      <c r="C7" s="8">
        <f>C4*C5*C6</f>
        <v>0</v>
      </c>
      <c r="D7" s="8">
        <f>D4*D5*D6</f>
        <v>0</v>
      </c>
    </row>
    <row r="8" spans="1:4">
      <c r="A8" t="s">
        <v>35</v>
      </c>
      <c r="B8" s="8">
        <f>Assumptions!$B$11*B5*B6</f>
        <v>0</v>
      </c>
      <c r="C8" s="8">
        <f>Assumptions!$B$11*C5*C6</f>
        <v>0</v>
      </c>
      <c r="D8" s="8">
        <f>Assumptions!$B$11*D5*D6</f>
        <v>0</v>
      </c>
    </row>
    <row r="9" spans="1:4">
      <c r="A9" t="s">
        <v>36</v>
      </c>
      <c r="B9" s="8">
        <f>Assumptions!$B$6*B7</f>
        <v>0</v>
      </c>
      <c r="C9" s="8">
        <f>Assumptions!$B$6*C7</f>
        <v>0</v>
      </c>
      <c r="D9" s="8">
        <f>Assumptions!$B$6*D7</f>
        <v>0</v>
      </c>
    </row>
    <row r="10" spans="1:4">
      <c r="A10" s="9" t="s">
        <v>37</v>
      </c>
      <c r="B10" s="8">
        <f>B9-B8</f>
        <v>0</v>
      </c>
      <c r="C10" s="8">
        <f>C9-C8</f>
        <v>0</v>
      </c>
      <c r="D10" s="8">
        <f>D9-D8</f>
        <v>0</v>
      </c>
    </row>
    <row r="11" spans="1:4">
      <c r="A11" s="9" t="s">
        <v>38</v>
      </c>
      <c r="B11" s="10">
        <f>B10/B8</f>
        <v>0</v>
      </c>
      <c r="C11" s="10">
        <f>C10/C8</f>
        <v>0</v>
      </c>
      <c r="D11" s="10">
        <f>D10/D8</f>
        <v>0</v>
      </c>
    </row>
    <row r="12" spans="1:4">
      <c r="A12" t="s">
        <v>39</v>
      </c>
      <c r="B12" s="6">
        <f>Assumptions!$B$11/Assumptions!$B$6</f>
        <v>0</v>
      </c>
      <c r="C12" s="6">
        <f>Assumptions!$B$11/Assumptions!$B$6</f>
        <v>0</v>
      </c>
      <c r="D12" s="6">
        <f>Assumptions!$B$11/Assumptions!$B$6</f>
        <v>0</v>
      </c>
    </row>
    <row r="13" spans="1:4">
      <c r="A13" t="s">
        <v>40</v>
      </c>
      <c r="B13" s="10">
        <f>B12/Assumptions!$B$10</f>
        <v>0</v>
      </c>
      <c r="C13" s="10">
        <f>C12/Assumptions!$B$10</f>
        <v>0</v>
      </c>
      <c r="D13" s="10">
        <f>D12/Assumptions!$B$10</f>
        <v>0</v>
      </c>
    </row>
    <row r="14" spans="1:4">
      <c r="A14" t="s">
        <v>41</v>
      </c>
      <c r="B14" s="10">
        <f>B4/Assumptions!$B$10</f>
        <v>0</v>
      </c>
      <c r="C14" s="10">
        <f>C4/Assumptions!$B$10</f>
        <v>0</v>
      </c>
      <c r="D14" s="10">
        <f>D4/Assumptions!$B$10</f>
        <v>0</v>
      </c>
    </row>
    <row r="15" spans="1:4">
      <c r="A15" t="s">
        <v>42</v>
      </c>
      <c r="B15" s="8">
        <f>Assumptions!$B$15*B5*B6</f>
        <v>0</v>
      </c>
      <c r="C15" s="8">
        <f>Assumptions!$B$15*C5*C6</f>
        <v>0</v>
      </c>
      <c r="D15" s="8">
        <f>Assumptions!$B$15*D5*D6</f>
        <v>0</v>
      </c>
    </row>
    <row r="16" spans="1:4">
      <c r="A16" t="s">
        <v>43</v>
      </c>
      <c r="B16" s="10">
        <f>(Assumptions!$B$6*(B7+B15)-B8)/B8</f>
        <v>0</v>
      </c>
      <c r="C16" s="10">
        <f>(Assumptions!$B$6*(C7+C15)-C8)/C8</f>
        <v>0</v>
      </c>
      <c r="D16" s="10">
        <f>(Assumptions!$B$6*(D7+D15)-D8)/D8</f>
        <v>0</v>
      </c>
    </row>
    <row r="19" spans="1:1">
      <c r="A19" s="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cols>
    <col min="1" max="1" width="22.7109375" customWidth="1"/>
    <col min="2" max="2" width="15.7109375" customWidth="1"/>
    <col min="3" max="3" width="17.7109375" customWidth="1"/>
    <col min="4" max="4" width="10.7109375" customWidth="1"/>
    <col min="5" max="5" width="12.7109375" customWidth="1"/>
    <col min="6" max="6" width="18.7109375" customWidth="1"/>
    <col min="7" max="7" width="13.7109375" customWidth="1"/>
    <col min="8" max="8" width="15.7109375" customWidth="1"/>
    <col min="9" max="10" width="14.7109375" customWidth="1"/>
    <col min="11" max="11" width="9.7109375" customWidth="1"/>
    <col min="12" max="12" width="13.7109375" customWidth="1"/>
    <col min="13" max="13" width="14.7109375" customWidth="1"/>
    <col min="14" max="14" width="66.7109375" customWidth="1"/>
  </cols>
  <sheetData>
    <row r="1" spans="1:14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</row>
    <row r="2" spans="1:14">
      <c r="A2" t="s">
        <v>63</v>
      </c>
      <c r="B2" s="7">
        <v>920</v>
      </c>
      <c r="C2" s="6">
        <v>155.7329771296469</v>
      </c>
      <c r="D2" s="11">
        <v>6.075646990769418E-07</v>
      </c>
      <c r="E2" t="s">
        <v>64</v>
      </c>
      <c r="F2" s="8">
        <v>143274.3389592752</v>
      </c>
      <c r="G2" s="8">
        <v>62447.77823529773</v>
      </c>
      <c r="H2" s="8">
        <v>25069.24</v>
      </c>
      <c r="I2" s="8">
        <v>35818.5847398188</v>
      </c>
      <c r="J2" s="8">
        <v>10749.3447398188</v>
      </c>
      <c r="K2" s="12">
        <v>0.4287862232687865</v>
      </c>
      <c r="L2" s="12">
        <v>1.051539228897375</v>
      </c>
      <c r="M2" s="12">
        <v>0.1448343641433021</v>
      </c>
      <c r="N2" t="s">
        <v>65</v>
      </c>
    </row>
    <row r="3" spans="1:14">
      <c r="A3" t="s">
        <v>66</v>
      </c>
      <c r="B3" s="7">
        <v>802</v>
      </c>
      <c r="C3" s="6">
        <v>81.2262002715714</v>
      </c>
      <c r="D3" s="11">
        <v>2.052475509208599E-07</v>
      </c>
      <c r="E3" t="s">
        <v>64</v>
      </c>
      <c r="F3" s="8">
        <v>65143.41261780026</v>
      </c>
      <c r="G3" s="8">
        <v>84127.94065444825</v>
      </c>
      <c r="H3" s="8">
        <v>9923.67</v>
      </c>
      <c r="I3" s="8">
        <v>16285.85315445007</v>
      </c>
      <c r="J3" s="8">
        <v>6362.183154450066</v>
      </c>
      <c r="K3" s="12">
        <v>0.6411119227513677</v>
      </c>
      <c r="L3" s="12">
        <v>2.760487633915893</v>
      </c>
      <c r="M3" s="12">
        <v>0.1494261113688713</v>
      </c>
      <c r="N3" t="s">
        <v>65</v>
      </c>
    </row>
    <row r="4" spans="1:14">
      <c r="A4" t="s">
        <v>67</v>
      </c>
      <c r="B4" s="7">
        <v>1509</v>
      </c>
      <c r="C4" s="6">
        <v>20.56223388133081</v>
      </c>
      <c r="D4" s="11">
        <v>0.0087159042047029</v>
      </c>
      <c r="E4" t="s">
        <v>64</v>
      </c>
      <c r="F4" s="8">
        <v>31028.41092692819</v>
      </c>
      <c r="G4" s="8">
        <v>85507.64504736033</v>
      </c>
      <c r="H4" s="8">
        <v>10123.63</v>
      </c>
      <c r="I4" s="8">
        <v>7757.102731732048</v>
      </c>
      <c r="J4" s="8">
        <v>-2366.527268267952</v>
      </c>
      <c r="K4" s="12">
        <v>-0.2337627183399582</v>
      </c>
      <c r="L4" s="12">
        <v>1.877822875151713</v>
      </c>
      <c r="M4" s="12">
        <v>0.1321498979827687</v>
      </c>
      <c r="N4" t="s">
        <v>68</v>
      </c>
    </row>
    <row r="5" spans="1:14">
      <c r="A5" t="s">
        <v>69</v>
      </c>
      <c r="B5" s="7">
        <v>1163</v>
      </c>
      <c r="C5" s="6">
        <v>5.751973090261306</v>
      </c>
      <c r="D5" s="11">
        <v>0.0293416547504726</v>
      </c>
      <c r="E5" t="s">
        <v>64</v>
      </c>
      <c r="F5" s="8">
        <v>6689.544703973898</v>
      </c>
      <c r="G5" s="8">
        <v>-10589.0172181677</v>
      </c>
      <c r="H5" s="8">
        <v>1858.61</v>
      </c>
      <c r="I5" s="8">
        <v>1672.386175993475</v>
      </c>
      <c r="J5" s="8">
        <v>-186.2238240065253</v>
      </c>
      <c r="K5" s="12">
        <v>-0.1001952125548261</v>
      </c>
      <c r="L5" s="12">
        <v>-0.1001952125548261</v>
      </c>
      <c r="M5" s="12">
        <v>0.1345491988139946</v>
      </c>
      <c r="N5" t="s">
        <v>68</v>
      </c>
    </row>
    <row r="6" spans="1:14">
      <c r="A6" t="s">
        <v>70</v>
      </c>
      <c r="B6" s="7">
        <v>632</v>
      </c>
      <c r="C6" s="6">
        <v>0.2451717865596349</v>
      </c>
      <c r="D6" s="11">
        <v>0.9287836441673862</v>
      </c>
      <c r="E6" t="s">
        <v>71</v>
      </c>
      <c r="F6" s="8">
        <v>154.9485691056892</v>
      </c>
      <c r="G6" s="8">
        <v>-12563.26224390225</v>
      </c>
      <c r="H6" s="8">
        <v>527.75</v>
      </c>
      <c r="I6" s="8">
        <v>38.73714227642231</v>
      </c>
      <c r="J6" s="8">
        <v>-489.0128577235777</v>
      </c>
      <c r="K6" s="12">
        <v>-0.9265994461839464</v>
      </c>
      <c r="L6" s="12">
        <v>-0.9265994461839464</v>
      </c>
      <c r="M6" s="12">
        <v>0.1210828644355461</v>
      </c>
      <c r="N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00.7109375" customWidth="1"/>
  </cols>
  <sheetData>
    <row r="1" spans="1:1">
      <c r="A1" t="s">
        <v>73</v>
      </c>
    </row>
    <row r="3" spans="1:1">
      <c r="A3" t="s">
        <v>74</v>
      </c>
    </row>
    <row r="5" spans="1:1">
      <c r="A5" t="s">
        <v>75</v>
      </c>
    </row>
    <row r="6" spans="1:1">
      <c r="A6" t="s">
        <v>76</v>
      </c>
    </row>
    <row r="7" spans="1:1">
      <c r="A7" t="s">
        <v>77</v>
      </c>
    </row>
    <row r="8" spans="1:1">
      <c r="A8" t="s">
        <v>78</v>
      </c>
    </row>
    <row r="10" spans="1:1">
      <c r="A10" t="s">
        <v>79</v>
      </c>
    </row>
    <row r="11" spans="1:1">
      <c r="A11" t="s">
        <v>80</v>
      </c>
    </row>
    <row r="12" spans="1:1">
      <c r="A12" t="s">
        <v>81</v>
      </c>
    </row>
    <row r="13" spans="1:1">
      <c r="A13" t="s">
        <v>82</v>
      </c>
    </row>
    <row r="15" spans="1:1">
      <c r="A15" t="s">
        <v>83</v>
      </c>
    </row>
    <row r="16" spans="1:1">
      <c r="A16" t="s">
        <v>84</v>
      </c>
    </row>
    <row r="18" spans="1:1">
      <c r="A18" t="s">
        <v>85</v>
      </c>
    </row>
    <row r="19" spans="1:1">
      <c r="A19" t="s">
        <v>86</v>
      </c>
    </row>
    <row r="21" spans="1:1">
      <c r="A2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Scenario Model</vt:lpstr>
      <vt:lpstr>Segment Detail (pilot)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2026-09-07T05:08:41Z</dcterms:created>
  <dcterms:modified xsi:type="dcterms:W3CDTF">2026-09-07T05:08:41Z</dcterms:modified>
</cp:coreProperties>
</file>